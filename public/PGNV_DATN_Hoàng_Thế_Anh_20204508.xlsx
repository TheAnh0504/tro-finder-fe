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N\"/>
    </mc:Choice>
  </mc:AlternateContent>
  <xr:revisionPtr revIDLastSave="0" documentId="13_ncr:1_{44B78C4F-1128-49DA-BCA2-7D84F77BD5FE}" xr6:coauthVersionLast="47" xr6:coauthVersionMax="47" xr10:uidLastSave="{00000000-0000-0000-0000-000000000000}"/>
  <bookViews>
    <workbookView xWindow="-108" yWindow="-108" windowWidth="23256" windowHeight="13896" tabRatio="822" xr2:uid="{A4C764ED-A697-7E4F-AB21-1130AE3D2115}"/>
  </bookViews>
  <sheets>
    <sheet name="Cử nhân" sheetId="16" r:id="rId1"/>
    <sheet name="DS phân ban" sheetId="2" state="hidden" r:id="rId2"/>
  </sheets>
  <definedNames>
    <definedName name="_xlnm._FilterDatabase" localSheetId="0" hidden="1">'Cử nhân'!$A$18:$B$22</definedName>
    <definedName name="Danh_sách_phân_ban">'DS phân ban'!$B$5:$B$24</definedName>
    <definedName name="List_of_fields">'DS phân ban'!$H$5:$H$24</definedName>
    <definedName name="Tuần">'DS phân ban'!$E$5:$E$24</definedName>
    <definedName name="_xlnm.Print_Area" localSheetId="0">'Cử nhân'!$A$2:$K$91</definedName>
    <definedName name="Week">'DS phân ban'!$J$5:$J$24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1" i="16" l="1"/>
  <c r="H80" i="16"/>
</calcChain>
</file>

<file path=xl/sharedStrings.xml><?xml version="1.0" encoding="utf-8"?>
<sst xmlns="http://schemas.openxmlformats.org/spreadsheetml/2006/main" count="158" uniqueCount="119">
  <si>
    <t>ĐẠI HỌC BÁCH KHOA HÀ NỘI</t>
  </si>
  <si>
    <t>TRƯỜNG CÔNG NGHỆ THÔNG TIN VÀ TRUYỀN THÔNG</t>
  </si>
  <si>
    <t>KỲ</t>
  </si>
  <si>
    <t>Thông tin về sinh viên</t>
  </si>
  <si>
    <t>Họ và tên sinh viên:</t>
  </si>
  <si>
    <t>MSSV:</t>
  </si>
  <si>
    <t>Điện thoại liên lạc:</t>
  </si>
  <si>
    <t>Lớp:</t>
  </si>
  <si>
    <t>Email:</t>
  </si>
  <si>
    <t>Mã lớp:</t>
  </si>
  <si>
    <t>Thông tin giáo viên hướng dẫn</t>
  </si>
  <si>
    <t>Họ và tên GVHD:</t>
  </si>
  <si>
    <t>Đồ án được thực hiện tại:</t>
  </si>
  <si>
    <t xml:space="preserve">Thời gian làm ĐATN: </t>
  </si>
  <si>
    <t>Từ ngày</t>
  </si>
  <si>
    <t>đến ngày</t>
  </si>
  <si>
    <t>1. Tên đề tài:</t>
  </si>
  <si>
    <t>2. Lĩnh vực đề tài:</t>
  </si>
  <si>
    <t>-</t>
  </si>
  <si>
    <t>Lựa chọn 1:</t>
  </si>
  <si>
    <t>Lựa chọn 2:</t>
  </si>
  <si>
    <t>Lựa chọn 3:</t>
  </si>
  <si>
    <t>Nếu lĩnh vực không nằm trong danh sách có sẵn, giáo viên hướng dẫn có thể đề xuất:</t>
  </si>
  <si>
    <t>3. Mục tiêu của ĐATN:</t>
  </si>
  <si>
    <t>3.1. Kiến thức sinh viên thu thập được:</t>
  </si>
  <si>
    <t>3.2. Công nghệ sinh viên thu thập được:</t>
  </si>
  <si>
    <t>3.3. Kỹ năng sinh viên phát triển được:</t>
  </si>
  <si>
    <t>3.4. Sản phẩm kỳ vọng:</t>
  </si>
  <si>
    <t xml:space="preserve">3.5. Vấn đề thực tiễn đồ án giải quyết:  </t>
  </si>
  <si>
    <t>4. Các nội dung sẽ thực hiện và kế hoạch triển khai:</t>
  </si>
  <si>
    <t>Nội dung 1: Tìm hiểu tổng quan về bài toán,</t>
  </si>
  <si>
    <t>từ Tuần</t>
  </si>
  <si>
    <t>đến Tuần</t>
  </si>
  <si>
    <t>Chi tiết:</t>
  </si>
  <si>
    <t>Tìm hiểu hệ thống GPS và các hệ thống định vị toàn cầu trên Thế giới và các hệ thống khu vực trên thế giới</t>
  </si>
  <si>
    <t xml:space="preserve">Nội dung 2: Tìm hiểu tổng quan về công nghệ liên quan, </t>
  </si>
  <si>
    <t>Nội dung 3: Phân tích thiết kế,</t>
  </si>
  <si>
    <t>Nội dung 4: Xây dựng chương trình,</t>
  </si>
  <si>
    <t>Nội dung 5: Thử nghiệm và đánh giá,</t>
  </si>
  <si>
    <t>5. Lời cam đoan của sinh viên đã nhận được nhiệm vụ</t>
  </si>
  <si>
    <t>Em xin cam kết sẽ hoàn thành các nhiệm vụ theo đúng kế hoạch.</t>
  </si>
  <si>
    <t>Sinh viên</t>
  </si>
  <si>
    <t>Giảng viên hướng dẫn</t>
  </si>
  <si>
    <t>(Ký và ghi rõ họ tên)</t>
  </si>
  <si>
    <t>Trí tuệ nhân tạo ứng dụng</t>
  </si>
  <si>
    <t>Học máy</t>
  </si>
  <si>
    <t>6. Xác nhận của giáo viên hướng dẫn về việc giao nhiệm vụ cho sinh viên</t>
  </si>
  <si>
    <t>PHIẾU GIAO NHIỆM VỤ ĐỒ ÁN TỐT NGHIỆP HỆ CỬ NHÂN</t>
  </si>
  <si>
    <t>Lưu ý: khối lượng yêu cầu đối với đồ án tốt nghiệp hệ cử nhân là 6(0-0-12-12), i.e. 12 tiết làm việc/tuần trong 17 tuần.</t>
  </si>
  <si>
    <t>Công nghệ và giải pháp chuyển đổi số giáo dục (EdTech)</t>
  </si>
  <si>
    <t>Phần mềm doanh nghiệp</t>
  </si>
  <si>
    <t>Thương mại điện tử (eCommerce) và hậu cần (Logistic)</t>
  </si>
  <si>
    <t>Danh sách phân ban</t>
  </si>
  <si>
    <t>Tuần</t>
  </si>
  <si>
    <t>STT</t>
  </si>
  <si>
    <t>Xử lý ngôn ngữ tự nhiên</t>
  </si>
  <si>
    <t>Natural language processing</t>
  </si>
  <si>
    <t>An toàn không gian số</t>
  </si>
  <si>
    <t>Cyber Security</t>
  </si>
  <si>
    <t>Multimedia và Game</t>
  </si>
  <si>
    <t>Multimedia and Game Development</t>
  </si>
  <si>
    <t>Blockchain và ứng dụng</t>
  </si>
  <si>
    <t>Blockchain and Applications</t>
  </si>
  <si>
    <t>AIoT</t>
  </si>
  <si>
    <t>Định vị sử dụng vệ tinh và ứng dụng hướng vị trí (LBS)</t>
  </si>
  <si>
    <t>Navigation Technologies and Location Based Services (LBS)</t>
  </si>
  <si>
    <t xml:space="preserve">eCommerce and Logistic </t>
  </si>
  <si>
    <t xml:space="preserve">Xử lý tín hiệu số </t>
  </si>
  <si>
    <t>Digital Signal Processing</t>
  </si>
  <si>
    <t>EdTech</t>
  </si>
  <si>
    <t>Công nghệ tài chính (FinTech)</t>
  </si>
  <si>
    <t>Fintech</t>
  </si>
  <si>
    <t>Giao thông thông minh (ITS)</t>
  </si>
  <si>
    <t>Intelligent Transportation System (ITS)</t>
  </si>
  <si>
    <t>Machine Learning</t>
  </si>
  <si>
    <t>Mạng máy tính và truyền thông thế hệ mới</t>
  </si>
  <si>
    <t>Modern Computer Networks and Communication Technologies</t>
  </si>
  <si>
    <t>Công nghệ y tế (MedTech)</t>
  </si>
  <si>
    <t>MedTech</t>
  </si>
  <si>
    <t>Enterprise Software</t>
  </si>
  <si>
    <t>Phân tích dữ liệu lớn và ứng dụng</t>
  </si>
  <si>
    <t>Big Data and Applications</t>
  </si>
  <si>
    <t>Thị giác máy tính</t>
  </si>
  <si>
    <t>Computer Vision</t>
  </si>
  <si>
    <t>Tối ưu</t>
  </si>
  <si>
    <t>Optimization</t>
  </si>
  <si>
    <t>AI and Applications</t>
  </si>
  <si>
    <t>Mẫu ĐATN 02</t>
  </si>
  <si>
    <t>Hệ nhúng</t>
  </si>
  <si>
    <t>Embedded System</t>
  </si>
  <si>
    <t>List of fields</t>
  </si>
  <si>
    <t>Danh_sách_phân_ban</t>
  </si>
  <si>
    <t>='DS phân ban'!$B$5:$B$24</t>
  </si>
  <si>
    <t>List_of_fields</t>
  </si>
  <si>
    <t>='DS phân ban'!$H$5:$H$24</t>
  </si>
  <si>
    <t>='DS phân ban'!$E$5:$E$24</t>
  </si>
  <si>
    <t>Week</t>
  </si>
  <si>
    <t>='DS phân ban'!$J$5:$J$24</t>
  </si>
  <si>
    <t>Hoàng Thế Anh</t>
  </si>
  <si>
    <t>0904172308</t>
  </si>
  <si>
    <t>anhhoangthe0504@gmail.com</t>
  </si>
  <si>
    <t>Khoa học máy tính 03-K65</t>
  </si>
  <si>
    <t>IT1-03-K65</t>
  </si>
  <si>
    <t>Vũ Đức Vượng</t>
  </si>
  <si>
    <t xml:space="preserve">Trường CNTT&amp;TT								</t>
  </si>
  <si>
    <t>23/02/2026</t>
  </si>
  <si>
    <t>21/06/2026</t>
  </si>
  <si>
    <t>Hệ thống tìm kiếm và quản lý nhà trọ trực tuyến</t>
  </si>
  <si>
    <t>Hà Nội, ngày 07 tháng 04 năm 2026</t>
  </si>
  <si>
    <t>- Nắm được quy trình phân tích, thiết kế và phát triển một hệ thống web app hoàn chỉnh.
- Hiểu cách xây dựng hệ thống có nhiều vai trò người dùng như chủ nhà, người thuê, khách truy cập.
- Nắm được cách tích hợp các chức năng xác thực, tìm kiếm, chat, đánh giá, quản lý phòng trọ và thanh toán trực tuyến.
- Hiểu thêm về quy trình xử lý dữ liệu, xác thực tài khoản, ký số và ứng dụng OCR trong thực tế.</t>
  </si>
  <si>
    <t>- Frontend: Angular, TypeScript.
- Backend: Spring Boot, Java.
- Database: MySQL.
- Xác thực và đăng nhập: SSO, OTP xác thực qua email.
- Tìm kiếm và hiển thị địa điểm trên bản đồ: Google Maps, iframe.
- Nhận diện và trích xuất dữ liệu: DeepSeek OCR.
- Ký số và sinh hợp đồng điện tử.
- Công cụ quản lý mã nguồn và làm việc nhóm: Git, Github.</t>
  </si>
  <si>
    <t>- Kỹ năng khảo sát yêu cầu và phân tích bài toán thực tế.
- Kỹ năng thiết kế luồng nghiệp vụ cho hệ thống nhiều phân quyền.
- Kỹ năng lập trình frontend, backend, xử lý cơ sở dữ liệu.
- Kỹ năng tích hợp các dịch vụ bên ngoài như email, bản đồ, OCR, ký số.
- Kỹ năng xây dựng giao diện thân thiện, dễ sử dụng cho nhiều nhóm người dùng.
- Kỹ năng quản lý thời gian và viết báo cáo kỹ thuật.</t>
  </si>
  <si>
    <t>Một nền tảng web hoàn chỉnh hỗ trợ tìm kiếm và quản lý nhà trọ trực tuyến với các chức năng chính:
- Đăng ký, đăng nhập, xác thực tài khoản bằng email/OTP hoặc SSO.
- Chủ nhà có thể tạo tài khoản, đăng bài cho thuê và quản lý phòng trọ.
- Người thuê có thể tìm kiếm phòng theo tỉnh/thành, xã/huyện, giá phòng, nội thất, giá điện nước và các tiêu chí khác.
- Hỗ trợ chat giữa chủ nhà và người thuê, bao gồm cả nhóm chat theo từng nhà trọ.
- Cho phép đánh giá nhà trọ, chỉ những người đã hoặc đang ký hợp đồng mới được đánh giá, có hỗ trợ ẩn danh.
- Sinh hợp đồng thuê nhà, hợp đồng đặt cọc và đơn tạm trú/tạm vắng bằng OCR.
- OCR giấy tờ tùy thân (căn cước công dân) để tạo hồ sơ tài khoản chính chủ.
- Hỗ trợ ký hợp đồng online bằng ký số.
- Quản lý cơ sở vật chất phòng trọ, báo cáo sự cố, thu tiền và tính tiền điện nước hàng tháng.
- Gửi thông báo nhắc đóng tiền phòng hàng tháng qua email và hiển thị trạng thái xác nhận thanh toán.
- Tích hợp QR thanh toán của chủ nhà và trang thông báo để theo dõi trạng thái thanh toán.</t>
  </si>
  <si>
    <t>- Cung cấp nền tảng tìm kiếm nhà trọ minh bạch, giá cả, nội thất rõ ràng, hạn chế môi giới trung gian, "cò mồi".
- Xác thực người dùng bằng OCR CCCD và tài khoản chính chủ.
- Hỗ trợ tạo, ký kết hợp đồng điện tử và các giấy tờ liên quan.
- Tích hợp quản lý phòng trọ, thanh toán và giao tiếp giữa các bên trên cùng một hệ thống.</t>
  </si>
  <si>
    <t>- Khảo sát các nền tảng tìm kiếm nhà trọ hiện có trên thị trường.
- Phân tích ưu, nhược điểm của các hệ thống hiện tại trên thị trường.
- Thu thập yêu cầu người dùng (chủ nhà, sinh viên, người thuê trọ).
- Xác định các chức năng cần thiết cho hệ thống.</t>
  </si>
  <si>
    <t>- Xây dựng các use case cho từng vai trò (chủ nhà, người thuê, khách tìm phòng).
- Thiết kế kiến trúc hệ thống (Frontend – Backend – Database).
- Thiết kế cơ sở dữ liệu (người dùng, phòng trọ, hợp đồng, thanh toán, đánh giá,...).
- Thiết kế giao diện người dùng (UI/UX).
- Xây dựng sơ đồ luồng nghiệp vụ (tìm phòng, ký hợp đồng, thanh toán,...).</t>
  </si>
  <si>
    <t>- Phát triển frontend bằng Angular.
- Xây dựng backend bằng Spring Boot và xây dựng API.
- Cài đặt các chức năng chính:
     + Đăng ký, đăng nhập (OTP, SSO).
     + Tìm kiếm và lọc phòng trọ theo nhiều tiêu chí.
     + Chat giữa người thuê và chủ nhà.
     + Quản lý phòng trọ và cơ sở vật chất.
     + Tạo và quản lý hợp đồng điện tử (OCR, ký số).
- Tích hợp các dịch vụ:
     + Gửi email, OTP (SMTP).
     + Google Maps (hiển thị vị trí).
     + OCR (DeepSeek OCR).</t>
  </si>
  <si>
    <t>- Kiểm thử chức năng chính của hệ thống hoạt động đúng yêu cầu.
- Sửa lỗi và tối ưu hiệu năng.
- Kiểm tra tính bảo mật (xác thực, phân quyền).
- Hoàn thiện giao diện và trải nghiệm người dùng.</t>
  </si>
  <si>
    <t>- Angular, TypeScript.
- Spring Boot, Java.
- MySQL.
- JWT, OTP (SMTP Gmail), SSO.
- WebSocket (chat realtime).
- Google Maps API.
- OCR (DeepSeek OCR).
- Digital Signature (ký số).
- Git.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</si>
</sst>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sz val="11"/>
      <color theme="1"/>
      <name val="Times New Roman"/>
      <family val="1"/>
    </font>
    <font>
      <u/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3" fillId="0" borderId="0" xfId="0" applyFont="1"/>
    <xf numFmtId="0" fontId="2" fillId="0" borderId="0" xfId="0" applyFont="1"/>
    <xf numFmtId="0" fontId="3" fillId="0" borderId="0" xfId="0" quotePrefix="1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4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 applyProtection="1">
      <alignment horizontal="center" vertical="center"/>
      <protection locked="0"/>
    </xf>
    <xf numFmtId="0" fontId="1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3" fillId="0" borderId="0" xfId="0" applyFont="1" applyAlignment="1">
      <alignment horizontal="centerContinuous"/>
    </xf>
    <xf numFmtId="0" fontId="2" fillId="0" borderId="0" xfId="0" applyFont="1" applyAlignment="1" applyProtection="1">
      <alignment horizontal="centerContinuous"/>
      <protection locked="0"/>
    </xf>
    <xf numFmtId="0" fontId="2" fillId="0" borderId="0" xfId="0" applyFont="1" applyAlignment="1">
      <alignment horizontal="centerContinuous" vertical="center"/>
    </xf>
    <xf numFmtId="0" fontId="4" fillId="0" borderId="0" xfId="0" applyFont="1" applyAlignment="1">
      <alignment horizontal="centerContinuous"/>
    </xf>
    <xf numFmtId="0" fontId="4" fillId="0" borderId="0" xfId="0" applyFont="1" applyAlignment="1" applyProtection="1">
      <alignment horizontal="centerContinuous" vertical="center"/>
      <protection locked="0"/>
    </xf>
    <xf numFmtId="0" fontId="4" fillId="0" borderId="0" xfId="0" applyFont="1" applyAlignment="1" applyProtection="1">
      <alignment horizontal="centerContinuous"/>
      <protection locked="0"/>
    </xf>
    <xf numFmtId="0" fontId="3" fillId="3" borderId="0" xfId="0" applyFont="1" applyFill="1" applyAlignment="1" applyProtection="1">
      <alignment horizontal="left" vertical="center"/>
      <protection locked="0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 applyProtection="1">
      <alignment horizontal="left" vertical="center"/>
      <protection locked="0"/>
    </xf>
    <xf numFmtId="49" fontId="3" fillId="3" borderId="0" xfId="0" quotePrefix="1" applyNumberFormat="1" applyFont="1" applyFill="1" applyAlignment="1" applyProtection="1">
      <alignment horizontal="center" vertical="center" wrapText="1"/>
      <protection locked="0"/>
    </xf>
    <xf numFmtId="49" fontId="3" fillId="3" borderId="0" xfId="0" quotePrefix="1" applyNumberFormat="1" applyFont="1" applyFill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left"/>
      <protection locked="0"/>
    </xf>
    <xf numFmtId="14" fontId="3" fillId="3" borderId="0" xfId="0" applyNumberFormat="1" applyFont="1" applyFill="1" applyAlignment="1" applyProtection="1">
      <alignment horizontal="center" vertical="center"/>
      <protection locked="0"/>
    </xf>
    <xf numFmtId="0" fontId="3" fillId="3" borderId="0" xfId="0" applyFont="1" applyFill="1" applyAlignment="1" applyProtection="1">
      <alignment horizontal="center" vertical="center"/>
      <protection locked="0"/>
    </xf>
    <xf numFmtId="49" fontId="3" fillId="3" borderId="0" xfId="0" quotePrefix="1" applyNumberFormat="1" applyFont="1" applyFill="1" applyAlignment="1" applyProtection="1">
      <alignment horizontal="left" vertical="top" wrapText="1"/>
      <protection locked="0"/>
    </xf>
    <xf numFmtId="49" fontId="3" fillId="3" borderId="0" xfId="0" quotePrefix="1" applyNumberFormat="1" applyFont="1" applyFill="1" applyAlignment="1" applyProtection="1">
      <alignment horizontal="left" vertical="top"/>
      <protection locked="0"/>
    </xf>
    <xf numFmtId="0" fontId="4" fillId="0" borderId="0" xfId="0" applyFont="1" applyAlignment="1">
      <alignment horizontal="left" vertical="center" wrapText="1"/>
    </xf>
    <xf numFmtId="49" fontId="3" fillId="3" borderId="0" xfId="0" applyNumberFormat="1" applyFont="1" applyFill="1" applyAlignment="1" applyProtection="1">
      <alignment horizontal="left" vertical="center"/>
      <protection locked="0"/>
    </xf>
    <xf numFmtId="0" fontId="6" fillId="3" borderId="0" xfId="1" applyFill="1" applyAlignment="1" applyProtection="1">
      <alignment horizontal="left" vertical="center"/>
      <protection locked="0"/>
    </xf>
  </cellXfs>
  <cellStyles count="2">
    <cellStyle name="Bình thường" xfId="0" builtinId="0"/>
    <cellStyle name="Siêu kết nối" xfId="1" builtinId="8"/>
  </cellStyles>
  <dxfs count="2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5E5D2D-4EE0-AF43-A1DA-EAEECD25B832}" name="Table1" displayName="Table1" ref="A4:B24" totalsRowShown="0" headerRowDxfId="20" headerRowBorderDxfId="19" tableBorderDxfId="18" totalsRowBorderDxfId="17">
  <autoFilter ref="A4:B24" xr:uid="{F35E5D2D-4EE0-AF43-A1DA-EAEECD25B832}"/>
  <tableColumns count="2">
    <tableColumn id="1" xr3:uid="{8F94715B-E4B9-AF4B-88AA-56DC574994A1}" name="STT" dataDxfId="16"/>
    <tableColumn id="2" xr3:uid="{3F1B16B6-C840-9541-9CA2-60159202EBE9}" name="Danh sách phân ban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2A41C4-6E08-4046-B053-611BCC4DFFCA}" name="Table2" displayName="Table2" ref="E4:E24" totalsRowShown="0" headerRowDxfId="14" dataDxfId="12" headerRowBorderDxfId="13" tableBorderDxfId="11" totalsRowBorderDxfId="10">
  <autoFilter ref="E4:E24" xr:uid="{512A41C4-6E08-4046-B053-611BCC4DFFCA}"/>
  <tableColumns count="1">
    <tableColumn id="1" xr3:uid="{21FAF650-327C-6941-9504-B63B591685DF}" name="Tuần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8264D22-4E76-E84A-B4D1-9049BE5485BB}" name="Table5" displayName="Table5" ref="G4:H24" totalsRowShown="0" headerRowDxfId="8" headerRowBorderDxfId="7" tableBorderDxfId="6" totalsRowBorderDxfId="5">
  <autoFilter ref="G4:H24" xr:uid="{48264D22-4E76-E84A-B4D1-9049BE5485BB}"/>
  <tableColumns count="2">
    <tableColumn id="1" xr3:uid="{71B94112-F048-4244-B830-67FA92AC3832}" name="STT" dataDxfId="4"/>
    <tableColumn id="2" xr3:uid="{4EA305C8-770B-D74C-A83C-14ACBE242B89}" name="List of fields" dataDxfId="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5103145-6112-7E40-8B3F-B1DACC1908F8}" name="Table6" displayName="Table6" ref="J4:J24" totalsRowShown="0" headerRowDxfId="2" dataDxfId="1">
  <autoFilter ref="J4:J24" xr:uid="{45103145-6112-7E40-8B3F-B1DACC1908F8}"/>
  <tableColumns count="1">
    <tableColumn id="1" xr3:uid="{30535105-FF9B-2943-9BAB-56CAA1866448}" name="Week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ủ đề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nhhoangthe0504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6D7BF-4E05-B545-AB2D-258E679B9FD3}">
  <sheetPr>
    <pageSetUpPr fitToPage="1"/>
  </sheetPr>
  <dimension ref="A1:K91"/>
  <sheetViews>
    <sheetView tabSelected="1" showWhiteSpace="0" zoomScale="85" zoomScaleNormal="85" zoomScalePageLayoutView="144" workbookViewId="0">
      <selection activeCell="M19" sqref="M19"/>
    </sheetView>
  </sheetViews>
  <sheetFormatPr defaultColWidth="10.796875" defaultRowHeight="13.8" x14ac:dyDescent="0.25"/>
  <cols>
    <col min="1" max="1" width="4.796875" style="3" customWidth="1"/>
    <col min="2" max="2" width="17.5" style="3" customWidth="1"/>
    <col min="3" max="3" width="7.69921875" style="3" customWidth="1"/>
    <col min="4" max="4" width="4.69921875" style="3" customWidth="1"/>
    <col min="5" max="5" width="10" style="3" customWidth="1"/>
    <col min="6" max="6" width="8.296875" style="3" customWidth="1"/>
    <col min="7" max="7" width="7.296875" style="3" customWidth="1"/>
    <col min="8" max="8" width="8.796875" style="3" customWidth="1"/>
    <col min="9" max="9" width="9.296875" style="3" customWidth="1"/>
    <col min="10" max="10" width="8.796875" style="3" customWidth="1"/>
    <col min="11" max="11" width="11.19921875" style="3" customWidth="1"/>
    <col min="12" max="16384" width="10.796875" style="3"/>
  </cols>
  <sheetData>
    <row r="1" spans="1:11" x14ac:dyDescent="0.25">
      <c r="J1" s="31" t="s">
        <v>87</v>
      </c>
      <c r="K1" s="32"/>
    </row>
    <row r="2" spans="1:11" x14ac:dyDescent="0.25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</row>
    <row r="3" spans="1:11" x14ac:dyDescent="0.25">
      <c r="A3" s="33" t="s">
        <v>1</v>
      </c>
      <c r="B3" s="33"/>
      <c r="C3" s="33"/>
      <c r="D3" s="33"/>
      <c r="E3" s="33"/>
      <c r="F3" s="33"/>
      <c r="G3" s="33"/>
      <c r="H3" s="33"/>
      <c r="I3" s="33"/>
      <c r="J3" s="33"/>
      <c r="K3" s="33"/>
    </row>
    <row r="5" spans="1:11" x14ac:dyDescent="0.25">
      <c r="A5" s="33" t="s">
        <v>47</v>
      </c>
      <c r="B5" s="33"/>
      <c r="C5" s="33"/>
      <c r="D5" s="33"/>
      <c r="E5" s="33"/>
      <c r="F5" s="33"/>
      <c r="G5" s="33"/>
      <c r="H5" s="33"/>
      <c r="I5" s="33"/>
      <c r="J5" s="33"/>
      <c r="K5" s="33"/>
    </row>
    <row r="6" spans="1:11" x14ac:dyDescent="0.25">
      <c r="A6" s="11"/>
      <c r="B6" s="12"/>
      <c r="C6" s="12"/>
      <c r="D6" s="12"/>
      <c r="E6" s="10" t="s">
        <v>2</v>
      </c>
      <c r="F6" s="13">
        <v>2025.2</v>
      </c>
      <c r="G6" s="12"/>
      <c r="H6" s="11"/>
      <c r="I6" s="11"/>
      <c r="J6" s="11"/>
    </row>
    <row r="7" spans="1:1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 x14ac:dyDescent="0.25">
      <c r="A8" s="12" t="s">
        <v>3</v>
      </c>
      <c r="B8" s="11"/>
      <c r="C8" s="11"/>
      <c r="D8" s="11"/>
      <c r="E8" s="11"/>
      <c r="F8" s="11"/>
      <c r="G8" s="11"/>
      <c r="H8" s="11"/>
      <c r="I8" s="11"/>
      <c r="J8" s="11"/>
      <c r="K8" s="11"/>
    </row>
    <row r="9" spans="1:11" x14ac:dyDescent="0.25">
      <c r="A9" s="11" t="s">
        <v>4</v>
      </c>
      <c r="B9" s="11"/>
      <c r="C9" s="30" t="s">
        <v>98</v>
      </c>
      <c r="D9" s="30"/>
      <c r="E9" s="30"/>
      <c r="F9" s="30"/>
      <c r="G9" s="30"/>
      <c r="H9" s="11" t="s">
        <v>5</v>
      </c>
      <c r="I9" s="30">
        <v>20204508</v>
      </c>
      <c r="J9" s="30"/>
      <c r="K9" s="30"/>
    </row>
    <row r="10" spans="1:11" x14ac:dyDescent="0.25">
      <c r="A10" s="11" t="s">
        <v>6</v>
      </c>
      <c r="B10" s="11"/>
      <c r="C10" s="43" t="s">
        <v>99</v>
      </c>
      <c r="D10" s="43"/>
      <c r="E10" s="43"/>
      <c r="F10" s="43"/>
      <c r="G10" s="43"/>
      <c r="H10" s="11" t="s">
        <v>7</v>
      </c>
      <c r="I10" s="30" t="s">
        <v>101</v>
      </c>
      <c r="J10" s="30"/>
      <c r="K10" s="30"/>
    </row>
    <row r="11" spans="1:11" ht="15.6" x14ac:dyDescent="0.25">
      <c r="A11" s="11" t="s">
        <v>8</v>
      </c>
      <c r="B11" s="11"/>
      <c r="C11" s="44" t="s">
        <v>100</v>
      </c>
      <c r="D11" s="30"/>
      <c r="E11" s="30"/>
      <c r="F11" s="30"/>
      <c r="G11" s="30"/>
      <c r="H11" s="11" t="s">
        <v>9</v>
      </c>
      <c r="I11" s="30" t="s">
        <v>102</v>
      </c>
      <c r="J11" s="30"/>
      <c r="K11" s="30"/>
    </row>
    <row r="12" spans="1:11" x14ac:dyDescent="0.25">
      <c r="A12" s="12" t="s">
        <v>10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1" x14ac:dyDescent="0.25">
      <c r="A13" s="11" t="s">
        <v>11</v>
      </c>
      <c r="B13" s="11"/>
      <c r="C13" s="34" t="s">
        <v>103</v>
      </c>
      <c r="D13" s="34"/>
      <c r="E13" s="34"/>
      <c r="F13" s="34"/>
      <c r="G13" s="34"/>
      <c r="H13" s="34"/>
      <c r="I13" s="34"/>
      <c r="J13" s="34"/>
      <c r="K13" s="34"/>
    </row>
    <row r="14" spans="1:11" x14ac:dyDescent="0.25">
      <c r="A14" s="11" t="s">
        <v>12</v>
      </c>
      <c r="B14" s="11"/>
      <c r="C14" s="30" t="s">
        <v>104</v>
      </c>
      <c r="D14" s="30"/>
      <c r="E14" s="30"/>
      <c r="F14" s="30"/>
      <c r="G14" s="30"/>
      <c r="H14" s="30"/>
      <c r="I14" s="30"/>
      <c r="J14" s="30"/>
      <c r="K14" s="30"/>
    </row>
    <row r="15" spans="1:11" ht="15.75" customHeight="1" x14ac:dyDescent="0.25">
      <c r="A15" s="11" t="s">
        <v>13</v>
      </c>
      <c r="B15" s="11"/>
      <c r="C15" s="11" t="s">
        <v>14</v>
      </c>
      <c r="D15" s="38" t="s">
        <v>105</v>
      </c>
      <c r="E15" s="39"/>
      <c r="F15" s="39"/>
      <c r="G15" s="39"/>
      <c r="H15" s="7" t="s">
        <v>15</v>
      </c>
      <c r="I15" s="38" t="s">
        <v>106</v>
      </c>
      <c r="J15" s="39"/>
      <c r="K15" s="39"/>
    </row>
    <row r="16" spans="1:11" x14ac:dyDescent="0.25">
      <c r="A16" s="12" t="s">
        <v>16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1" ht="36" customHeight="1" x14ac:dyDescent="0.25">
      <c r="A17" s="39" t="s">
        <v>107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</row>
    <row r="18" spans="1:11" x14ac:dyDescent="0.25">
      <c r="A18" s="4" t="s">
        <v>17</v>
      </c>
    </row>
    <row r="19" spans="1:11" x14ac:dyDescent="0.25">
      <c r="A19" s="5" t="s">
        <v>18</v>
      </c>
      <c r="B19" s="3" t="s">
        <v>19</v>
      </c>
      <c r="C19" s="37" t="s">
        <v>50</v>
      </c>
      <c r="D19" s="37"/>
      <c r="E19" s="37"/>
      <c r="F19" s="37"/>
      <c r="G19" s="37"/>
      <c r="H19" s="37"/>
      <c r="I19" s="37"/>
      <c r="J19" s="37"/>
      <c r="K19" s="37"/>
    </row>
    <row r="20" spans="1:11" x14ac:dyDescent="0.25">
      <c r="A20" s="5" t="s">
        <v>18</v>
      </c>
      <c r="B20" s="3" t="s">
        <v>20</v>
      </c>
      <c r="C20" s="37" t="s">
        <v>51</v>
      </c>
      <c r="D20" s="37"/>
      <c r="E20" s="37"/>
      <c r="F20" s="37"/>
      <c r="G20" s="37"/>
      <c r="H20" s="37"/>
      <c r="I20" s="37"/>
      <c r="J20" s="37"/>
      <c r="K20" s="37"/>
    </row>
    <row r="21" spans="1:11" x14ac:dyDescent="0.25">
      <c r="A21" s="5" t="s">
        <v>18</v>
      </c>
      <c r="B21" s="3" t="s">
        <v>21</v>
      </c>
      <c r="C21" s="37"/>
      <c r="D21" s="37"/>
      <c r="E21" s="37"/>
      <c r="F21" s="37"/>
      <c r="G21" s="37"/>
      <c r="H21" s="37"/>
      <c r="I21" s="37"/>
      <c r="J21" s="37"/>
      <c r="K21" s="37"/>
    </row>
    <row r="22" spans="1:11" x14ac:dyDescent="0.25">
      <c r="A22" s="5" t="s">
        <v>18</v>
      </c>
      <c r="B22" s="3" t="s">
        <v>22</v>
      </c>
    </row>
    <row r="23" spans="1:11" ht="16.5" customHeight="1" x14ac:dyDescent="0.25">
      <c r="A23" s="35"/>
      <c r="B23" s="36"/>
      <c r="C23" s="36"/>
      <c r="D23" s="36"/>
      <c r="E23" s="36"/>
      <c r="F23" s="36"/>
      <c r="G23" s="36"/>
      <c r="H23" s="36"/>
      <c r="I23" s="36"/>
      <c r="J23" s="36"/>
      <c r="K23" s="36"/>
    </row>
    <row r="24" spans="1:11" x14ac:dyDescent="0.25">
      <c r="A24" s="6" t="s">
        <v>23</v>
      </c>
    </row>
    <row r="25" spans="1:11" x14ac:dyDescent="0.25">
      <c r="A25" s="3" t="s">
        <v>24</v>
      </c>
    </row>
    <row r="26" spans="1:11" ht="18" customHeight="1" x14ac:dyDescent="0.25">
      <c r="A26" s="40" t="s">
        <v>109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</row>
    <row r="27" spans="1:11" x14ac:dyDescent="0.25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</row>
    <row r="28" spans="1:11" ht="28.2" customHeight="1" x14ac:dyDescent="0.25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</row>
    <row r="29" spans="1:11" x14ac:dyDescent="0.25">
      <c r="A29" s="3" t="s">
        <v>25</v>
      </c>
    </row>
    <row r="30" spans="1:11" x14ac:dyDescent="0.25">
      <c r="A30" s="40" t="s">
        <v>110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</row>
    <row r="31" spans="1:11" x14ac:dyDescent="0.25">
      <c r="A31" s="41" t="s">
        <v>18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</row>
    <row r="32" spans="1:11" ht="89.4" customHeight="1" x14ac:dyDescent="0.25">
      <c r="A32" s="41" t="s">
        <v>18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</row>
    <row r="33" spans="1:11" x14ac:dyDescent="0.25">
      <c r="A33" s="3" t="s">
        <v>26</v>
      </c>
    </row>
    <row r="34" spans="1:11" ht="89.4" customHeight="1" x14ac:dyDescent="0.25">
      <c r="A34" s="40" t="s">
        <v>111</v>
      </c>
      <c r="B34" s="41"/>
      <c r="C34" s="41"/>
      <c r="D34" s="41"/>
      <c r="E34" s="41"/>
      <c r="F34" s="41"/>
      <c r="G34" s="41"/>
      <c r="H34" s="41"/>
      <c r="I34" s="41"/>
      <c r="J34" s="41"/>
      <c r="K34" s="41"/>
    </row>
    <row r="35" spans="1:11" x14ac:dyDescent="0.25">
      <c r="A35" s="3" t="s">
        <v>27</v>
      </c>
    </row>
    <row r="36" spans="1:11" x14ac:dyDescent="0.25">
      <c r="A36" s="40" t="s">
        <v>112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</row>
    <row r="37" spans="1:11" x14ac:dyDescent="0.25">
      <c r="A37" s="41" t="s">
        <v>18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</row>
    <row r="38" spans="1:11" ht="144" customHeight="1" x14ac:dyDescent="0.25">
      <c r="A38" s="41" t="s">
        <v>18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</row>
    <row r="39" spans="1:11" x14ac:dyDescent="0.25">
      <c r="A39" s="3" t="s">
        <v>28</v>
      </c>
    </row>
    <row r="40" spans="1:11" x14ac:dyDescent="0.25">
      <c r="A40" s="40" t="s">
        <v>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</row>
    <row r="41" spans="1:11" x14ac:dyDescent="0.25">
      <c r="A41" s="41" t="s">
        <v>18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</row>
    <row r="42" spans="1:11" ht="36.6" customHeight="1" x14ac:dyDescent="0.25">
      <c r="A42" s="41" t="s">
        <v>18</v>
      </c>
      <c r="B42" s="41"/>
      <c r="C42" s="41"/>
      <c r="D42" s="41"/>
      <c r="E42" s="41"/>
      <c r="F42" s="41"/>
      <c r="G42" s="41"/>
      <c r="H42" s="41"/>
      <c r="I42" s="41"/>
      <c r="J42" s="41"/>
      <c r="K42" s="41"/>
    </row>
    <row r="43" spans="1:11" x14ac:dyDescent="0.25">
      <c r="A43" s="4" t="s">
        <v>29</v>
      </c>
    </row>
    <row r="44" spans="1:11" ht="14.4" x14ac:dyDescent="0.25">
      <c r="A44" s="42" t="s">
        <v>48</v>
      </c>
      <c r="B44" s="42"/>
      <c r="C44" s="42"/>
      <c r="D44" s="42"/>
      <c r="E44" s="42"/>
      <c r="F44" s="42"/>
      <c r="G44" s="42"/>
      <c r="H44" s="42"/>
      <c r="I44" s="42"/>
      <c r="J44" s="42"/>
      <c r="K44" s="42"/>
    </row>
    <row r="45" spans="1:11" x14ac:dyDescent="0.25">
      <c r="A45" s="4" t="s">
        <v>30</v>
      </c>
      <c r="G45" s="3" t="s">
        <v>31</v>
      </c>
      <c r="H45" s="8">
        <v>1</v>
      </c>
      <c r="I45" s="3" t="s">
        <v>32</v>
      </c>
      <c r="J45" s="8">
        <v>5</v>
      </c>
    </row>
    <row r="46" spans="1:11" x14ac:dyDescent="0.25">
      <c r="A46" s="3" t="s">
        <v>33</v>
      </c>
    </row>
    <row r="47" spans="1:11" x14ac:dyDescent="0.25">
      <c r="A47" s="40" t="s">
        <v>114</v>
      </c>
      <c r="B47" s="41" t="s">
        <v>34</v>
      </c>
      <c r="C47" s="41"/>
      <c r="D47" s="41"/>
      <c r="E47" s="41"/>
      <c r="F47" s="41"/>
      <c r="G47" s="41"/>
      <c r="H47" s="41"/>
      <c r="I47" s="41"/>
      <c r="J47" s="41"/>
      <c r="K47" s="41"/>
    </row>
    <row r="48" spans="1:11" x14ac:dyDescent="0.25">
      <c r="A48" s="41" t="s">
        <v>18</v>
      </c>
      <c r="B48" s="41"/>
      <c r="C48" s="41"/>
      <c r="D48" s="41"/>
      <c r="E48" s="41"/>
      <c r="F48" s="41"/>
      <c r="G48" s="41"/>
      <c r="H48" s="41"/>
      <c r="I48" s="41"/>
      <c r="J48" s="41"/>
      <c r="K48" s="41"/>
    </row>
    <row r="49" spans="1:11" ht="34.799999999999997" customHeight="1" x14ac:dyDescent="0.25">
      <c r="A49" s="41" t="s">
        <v>18</v>
      </c>
      <c r="B49" s="41"/>
      <c r="C49" s="41"/>
      <c r="D49" s="41"/>
      <c r="E49" s="41"/>
      <c r="F49" s="41"/>
      <c r="G49" s="41"/>
      <c r="H49" s="41"/>
      <c r="I49" s="41"/>
      <c r="J49" s="41"/>
      <c r="K49" s="41"/>
    </row>
    <row r="50" spans="1:11" x14ac:dyDescent="0.25">
      <c r="A50" s="4" t="s">
        <v>35</v>
      </c>
      <c r="G50" s="3" t="s">
        <v>31</v>
      </c>
      <c r="H50" s="8">
        <v>2</v>
      </c>
      <c r="I50" s="3" t="s">
        <v>32</v>
      </c>
      <c r="J50" s="8">
        <v>6</v>
      </c>
    </row>
    <row r="51" spans="1:11" x14ac:dyDescent="0.25">
      <c r="A51" s="3" t="s">
        <v>33</v>
      </c>
    </row>
    <row r="52" spans="1:11" x14ac:dyDescent="0.25">
      <c r="A52" s="40" t="s">
        <v>118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</row>
    <row r="53" spans="1:11" x14ac:dyDescent="0.25">
      <c r="A53" s="41" t="s">
        <v>18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</row>
    <row r="54" spans="1:11" ht="106.2" customHeight="1" x14ac:dyDescent="0.25">
      <c r="A54" s="41" t="s">
        <v>18</v>
      </c>
      <c r="B54" s="41"/>
      <c r="C54" s="41"/>
      <c r="D54" s="41"/>
      <c r="E54" s="41"/>
      <c r="F54" s="41"/>
      <c r="G54" s="41"/>
      <c r="H54" s="41"/>
      <c r="I54" s="41"/>
      <c r="J54" s="41"/>
      <c r="K54" s="41"/>
    </row>
    <row r="55" spans="1:11" x14ac:dyDescent="0.25">
      <c r="A55" s="4" t="s">
        <v>36</v>
      </c>
      <c r="G55" s="3" t="s">
        <v>31</v>
      </c>
      <c r="H55" s="8">
        <v>4</v>
      </c>
      <c r="I55" s="3" t="s">
        <v>32</v>
      </c>
      <c r="J55" s="8">
        <v>9</v>
      </c>
    </row>
    <row r="56" spans="1:11" x14ac:dyDescent="0.25">
      <c r="A56" s="3" t="s">
        <v>33</v>
      </c>
    </row>
    <row r="57" spans="1:11" ht="13.05" customHeight="1" x14ac:dyDescent="0.25">
      <c r="A57" s="40" t="s">
        <v>115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</row>
    <row r="58" spans="1:11" x14ac:dyDescent="0.25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</row>
    <row r="59" spans="1:11" ht="52.8" customHeight="1" x14ac:dyDescent="0.25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</row>
    <row r="60" spans="1:11" x14ac:dyDescent="0.25">
      <c r="A60" s="4" t="s">
        <v>37</v>
      </c>
      <c r="G60" s="3" t="s">
        <v>31</v>
      </c>
      <c r="H60" s="8">
        <v>7</v>
      </c>
      <c r="I60" s="3" t="s">
        <v>32</v>
      </c>
      <c r="J60" s="8">
        <v>16</v>
      </c>
    </row>
    <row r="61" spans="1:11" x14ac:dyDescent="0.25">
      <c r="A61" s="3" t="s">
        <v>33</v>
      </c>
    </row>
    <row r="62" spans="1:11" x14ac:dyDescent="0.25">
      <c r="A62" s="40" t="s">
        <v>116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</row>
    <row r="63" spans="1:11" x14ac:dyDescent="0.25">
      <c r="A63" s="41" t="s">
        <v>18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</row>
    <row r="64" spans="1:11" ht="148.80000000000001" customHeight="1" x14ac:dyDescent="0.25">
      <c r="A64" s="41" t="s">
        <v>18</v>
      </c>
      <c r="B64" s="41"/>
      <c r="C64" s="41"/>
      <c r="D64" s="41"/>
      <c r="E64" s="41"/>
      <c r="F64" s="41"/>
      <c r="G64" s="41"/>
      <c r="H64" s="41"/>
      <c r="I64" s="41"/>
      <c r="J64" s="41"/>
      <c r="K64" s="41"/>
    </row>
    <row r="65" spans="1:11" x14ac:dyDescent="0.25">
      <c r="A65" s="4" t="s">
        <v>38</v>
      </c>
      <c r="G65" s="3" t="s">
        <v>31</v>
      </c>
      <c r="H65" s="8">
        <v>14</v>
      </c>
      <c r="I65" s="3" t="s">
        <v>32</v>
      </c>
      <c r="J65" s="8">
        <v>17</v>
      </c>
    </row>
    <row r="66" spans="1:11" x14ac:dyDescent="0.25">
      <c r="A66" s="3" t="s">
        <v>33</v>
      </c>
    </row>
    <row r="67" spans="1:11" x14ac:dyDescent="0.25">
      <c r="A67" s="40" t="s">
        <v>117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</row>
    <row r="68" spans="1:11" x14ac:dyDescent="0.25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</row>
    <row r="69" spans="1:11" ht="31.8" customHeight="1" x14ac:dyDescent="0.25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</row>
    <row r="70" spans="1:11" x14ac:dyDescent="0.25">
      <c r="A70" s="4" t="s">
        <v>39</v>
      </c>
    </row>
    <row r="71" spans="1:11" ht="14.4" x14ac:dyDescent="0.3">
      <c r="A71" s="9" t="s">
        <v>40</v>
      </c>
    </row>
    <row r="72" spans="1:11" ht="14.4" x14ac:dyDescent="0.25">
      <c r="H72" s="28" t="s">
        <v>108</v>
      </c>
      <c r="I72" s="28"/>
      <c r="J72" s="28"/>
      <c r="K72" s="28"/>
    </row>
    <row r="73" spans="1:11" ht="15.75" customHeight="1" x14ac:dyDescent="0.25">
      <c r="H73" s="26" t="s">
        <v>41</v>
      </c>
      <c r="I73" s="26"/>
      <c r="J73" s="26"/>
      <c r="K73" s="26"/>
    </row>
    <row r="74" spans="1:11" ht="14.4" x14ac:dyDescent="0.3">
      <c r="H74" s="27" t="s">
        <v>43</v>
      </c>
      <c r="I74" s="24"/>
      <c r="J74" s="24"/>
      <c r="K74" s="24"/>
    </row>
    <row r="80" spans="1:11" x14ac:dyDescent="0.25">
      <c r="H80" s="25" t="str">
        <f>C9</f>
        <v>Hoàng Thế Anh</v>
      </c>
      <c r="I80" s="25"/>
      <c r="J80" s="25"/>
      <c r="K80" s="25"/>
    </row>
    <row r="82" spans="1:11" x14ac:dyDescent="0.25">
      <c r="A82" s="4" t="s">
        <v>46</v>
      </c>
    </row>
    <row r="83" spans="1:11" ht="14.4" x14ac:dyDescent="0.3">
      <c r="H83" s="29" t="s">
        <v>108</v>
      </c>
      <c r="I83" s="29"/>
      <c r="J83" s="29"/>
      <c r="K83" s="29"/>
    </row>
    <row r="84" spans="1:11" x14ac:dyDescent="0.25">
      <c r="H84" s="26" t="s">
        <v>42</v>
      </c>
      <c r="I84" s="26"/>
      <c r="J84" s="26"/>
      <c r="K84" s="26"/>
    </row>
    <row r="85" spans="1:11" ht="14.4" x14ac:dyDescent="0.3">
      <c r="H85" s="27" t="s">
        <v>43</v>
      </c>
      <c r="I85" s="26"/>
      <c r="J85" s="26"/>
      <c r="K85" s="26"/>
    </row>
    <row r="91" spans="1:11" x14ac:dyDescent="0.25">
      <c r="H91" s="25" t="str">
        <f>C13</f>
        <v>Vũ Đức Vượng</v>
      </c>
      <c r="I91" s="25"/>
      <c r="J91" s="25"/>
      <c r="K91" s="25"/>
    </row>
  </sheetData>
  <sheetProtection algorithmName="SHA-512" hashValue="Nu08Q1cYWGKa3AQcr42J5Sho/fvQD0DyGcxxouD9eFCQGyXuS4PflxtmR4p+a44JahY6VyWSGZssxdaG6YStXA==" saltValue="3EtgKxcDmcS78SyG92f3Dg==" spinCount="100000" sheet="1" objects="1" scenarios="1" formatCells="0" formatColumns="0" formatRows="0" insertRows="0" insertHyperlinks="0"/>
  <mergeCells count="30">
    <mergeCell ref="A30:K32"/>
    <mergeCell ref="A34:K34"/>
    <mergeCell ref="A36:K38"/>
    <mergeCell ref="A40:K42"/>
    <mergeCell ref="A47:K49"/>
    <mergeCell ref="C14:K14"/>
    <mergeCell ref="A17:K17"/>
    <mergeCell ref="C19:K19"/>
    <mergeCell ref="C20:K20"/>
    <mergeCell ref="A26:K28"/>
    <mergeCell ref="A44:K44"/>
    <mergeCell ref="A52:K54"/>
    <mergeCell ref="A57:K59"/>
    <mergeCell ref="A62:K64"/>
    <mergeCell ref="A67:K69"/>
    <mergeCell ref="C11:G11"/>
    <mergeCell ref="D15:G15"/>
    <mergeCell ref="I15:K15"/>
    <mergeCell ref="A23:K23"/>
    <mergeCell ref="I10:K10"/>
    <mergeCell ref="C21:K21"/>
    <mergeCell ref="I11:K11"/>
    <mergeCell ref="C13:K13"/>
    <mergeCell ref="J1:K1"/>
    <mergeCell ref="C10:G10"/>
    <mergeCell ref="A2:K2"/>
    <mergeCell ref="A3:K3"/>
    <mergeCell ref="A5:K5"/>
    <mergeCell ref="C9:G9"/>
    <mergeCell ref="I9:K9"/>
  </mergeCells>
  <dataValidations count="2">
    <dataValidation type="list" allowBlank="1" showInputMessage="1" showErrorMessage="1" sqref="C19:K21" xr:uid="{E32655BA-5193-E345-B3B2-3CF8E3521EE9}">
      <formula1>Danh_sách_phân_ban</formula1>
    </dataValidation>
    <dataValidation type="list" allowBlank="1" showInputMessage="1" showErrorMessage="1" sqref="H45 J45 H50 J50 H55 J55 H60 J60 H65 J65" xr:uid="{8C41FE1D-D9D6-C748-A423-71EDE37B2AAB}">
      <formula1>Tuần</formula1>
    </dataValidation>
  </dataValidations>
  <hyperlinks>
    <hyperlink ref="C11" r:id="rId1" xr:uid="{279DCFCB-2C59-4B53-893E-55F1AE5B6D79}"/>
  </hyperlinks>
  <pageMargins left="0.7" right="0.7" top="0.75" bottom="0.75" header="0.3" footer="0.3"/>
  <pageSetup paperSize="9" scale="87" fitToHeight="0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616A9-3591-AC4E-A389-05DE9D50EBB0}">
  <dimension ref="A2:N24"/>
  <sheetViews>
    <sheetView workbookViewId="0">
      <selection activeCell="M11" sqref="M11"/>
    </sheetView>
  </sheetViews>
  <sheetFormatPr defaultColWidth="11" defaultRowHeight="15.6" x14ac:dyDescent="0.3"/>
  <cols>
    <col min="1" max="1" width="6.5" style="1" customWidth="1"/>
    <col min="2" max="2" width="48.69921875" customWidth="1"/>
    <col min="3" max="4" width="11" customWidth="1"/>
    <col min="5" max="5" width="7.5" customWidth="1"/>
    <col min="6" max="6" width="11" customWidth="1"/>
    <col min="7" max="7" width="6.5" customWidth="1"/>
    <col min="8" max="8" width="56.69921875" customWidth="1"/>
    <col min="13" max="13" width="20.5" customWidth="1"/>
  </cols>
  <sheetData>
    <row r="2" spans="1:14" ht="21" x14ac:dyDescent="0.4">
      <c r="B2" s="2" t="s">
        <v>52</v>
      </c>
      <c r="E2" s="14" t="s">
        <v>53</v>
      </c>
      <c r="G2" s="1"/>
      <c r="H2" s="2" t="s">
        <v>52</v>
      </c>
      <c r="J2" s="14" t="s">
        <v>96</v>
      </c>
    </row>
    <row r="3" spans="1:14" x14ac:dyDescent="0.3">
      <c r="G3" s="1"/>
    </row>
    <row r="4" spans="1:14" x14ac:dyDescent="0.3">
      <c r="A4" s="17" t="s">
        <v>54</v>
      </c>
      <c r="B4" s="18" t="s">
        <v>52</v>
      </c>
      <c r="E4" s="22" t="s">
        <v>53</v>
      </c>
      <c r="G4" s="17" t="s">
        <v>54</v>
      </c>
      <c r="H4" s="18" t="s">
        <v>90</v>
      </c>
      <c r="J4" s="1" t="s">
        <v>96</v>
      </c>
      <c r="M4" t="s">
        <v>91</v>
      </c>
      <c r="N4" t="s">
        <v>92</v>
      </c>
    </row>
    <row r="5" spans="1:14" x14ac:dyDescent="0.3">
      <c r="A5" s="15">
        <v>1</v>
      </c>
      <c r="B5" s="16" t="s">
        <v>55</v>
      </c>
      <c r="E5" s="21">
        <v>1</v>
      </c>
      <c r="G5" s="15">
        <v>1</v>
      </c>
      <c r="H5" s="16" t="s">
        <v>56</v>
      </c>
      <c r="J5" s="1">
        <v>1</v>
      </c>
      <c r="M5" t="s">
        <v>93</v>
      </c>
      <c r="N5" t="s">
        <v>94</v>
      </c>
    </row>
    <row r="6" spans="1:14" x14ac:dyDescent="0.3">
      <c r="A6" s="15">
        <v>2</v>
      </c>
      <c r="B6" s="16" t="s">
        <v>57</v>
      </c>
      <c r="E6" s="21">
        <v>2</v>
      </c>
      <c r="G6" s="15">
        <v>2</v>
      </c>
      <c r="H6" s="16" t="s">
        <v>58</v>
      </c>
      <c r="J6" s="1">
        <v>2</v>
      </c>
      <c r="M6" t="s">
        <v>53</v>
      </c>
      <c r="N6" t="s">
        <v>95</v>
      </c>
    </row>
    <row r="7" spans="1:14" x14ac:dyDescent="0.3">
      <c r="A7" s="15">
        <v>3</v>
      </c>
      <c r="B7" s="16" t="s">
        <v>59</v>
      </c>
      <c r="E7" s="21">
        <v>3</v>
      </c>
      <c r="G7" s="15">
        <v>3</v>
      </c>
      <c r="H7" s="16" t="s">
        <v>60</v>
      </c>
      <c r="J7" s="1">
        <v>3</v>
      </c>
      <c r="M7" t="s">
        <v>96</v>
      </c>
      <c r="N7" t="s">
        <v>97</v>
      </c>
    </row>
    <row r="8" spans="1:14" x14ac:dyDescent="0.3">
      <c r="A8" s="15">
        <v>4</v>
      </c>
      <c r="B8" s="16" t="s">
        <v>61</v>
      </c>
      <c r="E8" s="21">
        <v>4</v>
      </c>
      <c r="G8" s="15">
        <v>4</v>
      </c>
      <c r="H8" s="16" t="s">
        <v>62</v>
      </c>
      <c r="J8" s="1">
        <v>4</v>
      </c>
    </row>
    <row r="9" spans="1:14" x14ac:dyDescent="0.3">
      <c r="A9" s="15">
        <v>5</v>
      </c>
      <c r="B9" s="16" t="s">
        <v>63</v>
      </c>
      <c r="E9" s="21">
        <v>5</v>
      </c>
      <c r="G9" s="15">
        <v>5</v>
      </c>
      <c r="H9" s="16" t="s">
        <v>63</v>
      </c>
      <c r="J9" s="1">
        <v>5</v>
      </c>
    </row>
    <row r="10" spans="1:14" x14ac:dyDescent="0.3">
      <c r="A10" s="15">
        <v>6</v>
      </c>
      <c r="B10" s="16" t="s">
        <v>88</v>
      </c>
      <c r="E10" s="21">
        <v>6</v>
      </c>
      <c r="G10" s="15">
        <v>6</v>
      </c>
      <c r="H10" s="16" t="s">
        <v>89</v>
      </c>
      <c r="J10" s="1">
        <v>6</v>
      </c>
    </row>
    <row r="11" spans="1:14" x14ac:dyDescent="0.3">
      <c r="A11" s="15">
        <v>7</v>
      </c>
      <c r="B11" s="16" t="s">
        <v>64</v>
      </c>
      <c r="E11" s="21">
        <v>7</v>
      </c>
      <c r="G11" s="15">
        <v>7</v>
      </c>
      <c r="H11" s="16" t="s">
        <v>65</v>
      </c>
      <c r="J11" s="1">
        <v>7</v>
      </c>
    </row>
    <row r="12" spans="1:14" x14ac:dyDescent="0.3">
      <c r="A12" s="15">
        <v>8</v>
      </c>
      <c r="B12" s="16" t="s">
        <v>51</v>
      </c>
      <c r="E12" s="21">
        <v>8</v>
      </c>
      <c r="G12" s="15">
        <v>8</v>
      </c>
      <c r="H12" s="16" t="s">
        <v>66</v>
      </c>
      <c r="J12" s="1">
        <v>8</v>
      </c>
    </row>
    <row r="13" spans="1:14" x14ac:dyDescent="0.3">
      <c r="A13" s="15">
        <v>9</v>
      </c>
      <c r="B13" s="16" t="s">
        <v>67</v>
      </c>
      <c r="E13" s="21">
        <v>9</v>
      </c>
      <c r="G13" s="15">
        <v>9</v>
      </c>
      <c r="H13" s="16" t="s">
        <v>68</v>
      </c>
      <c r="J13" s="1">
        <v>9</v>
      </c>
    </row>
    <row r="14" spans="1:14" x14ac:dyDescent="0.3">
      <c r="A14" s="15">
        <v>10</v>
      </c>
      <c r="B14" s="16" t="s">
        <v>49</v>
      </c>
      <c r="E14" s="21">
        <v>10</v>
      </c>
      <c r="G14" s="15">
        <v>10</v>
      </c>
      <c r="H14" s="16" t="s">
        <v>69</v>
      </c>
      <c r="J14" s="1">
        <v>10</v>
      </c>
    </row>
    <row r="15" spans="1:14" x14ac:dyDescent="0.3">
      <c r="A15" s="15">
        <v>11</v>
      </c>
      <c r="B15" s="16" t="s">
        <v>70</v>
      </c>
      <c r="E15" s="21">
        <v>11</v>
      </c>
      <c r="G15" s="15">
        <v>11</v>
      </c>
      <c r="H15" s="16" t="s">
        <v>71</v>
      </c>
      <c r="J15" s="1">
        <v>11</v>
      </c>
    </row>
    <row r="16" spans="1:14" x14ac:dyDescent="0.3">
      <c r="A16" s="15">
        <v>12</v>
      </c>
      <c r="B16" s="16" t="s">
        <v>72</v>
      </c>
      <c r="E16" s="21">
        <v>12</v>
      </c>
      <c r="G16" s="15">
        <v>12</v>
      </c>
      <c r="H16" s="16" t="s">
        <v>73</v>
      </c>
      <c r="J16" s="1">
        <v>12</v>
      </c>
    </row>
    <row r="17" spans="1:10" x14ac:dyDescent="0.3">
      <c r="A17" s="15">
        <v>13</v>
      </c>
      <c r="B17" s="16" t="s">
        <v>45</v>
      </c>
      <c r="E17" s="21">
        <v>13</v>
      </c>
      <c r="G17" s="15">
        <v>13</v>
      </c>
      <c r="H17" s="16" t="s">
        <v>74</v>
      </c>
      <c r="J17" s="1">
        <v>13</v>
      </c>
    </row>
    <row r="18" spans="1:10" x14ac:dyDescent="0.3">
      <c r="A18" s="15">
        <v>14</v>
      </c>
      <c r="B18" s="16" t="s">
        <v>75</v>
      </c>
      <c r="E18" s="21">
        <v>14</v>
      </c>
      <c r="G18" s="15">
        <v>14</v>
      </c>
      <c r="H18" s="16" t="s">
        <v>76</v>
      </c>
      <c r="J18" s="1">
        <v>14</v>
      </c>
    </row>
    <row r="19" spans="1:10" x14ac:dyDescent="0.3">
      <c r="A19" s="15">
        <v>15</v>
      </c>
      <c r="B19" s="16" t="s">
        <v>77</v>
      </c>
      <c r="E19" s="21">
        <v>15</v>
      </c>
      <c r="G19" s="15">
        <v>15</v>
      </c>
      <c r="H19" s="16" t="s">
        <v>78</v>
      </c>
      <c r="J19" s="1">
        <v>15</v>
      </c>
    </row>
    <row r="20" spans="1:10" x14ac:dyDescent="0.3">
      <c r="A20" s="15">
        <v>16</v>
      </c>
      <c r="B20" s="16" t="s">
        <v>50</v>
      </c>
      <c r="E20" s="21">
        <v>16</v>
      </c>
      <c r="G20" s="15">
        <v>16</v>
      </c>
      <c r="H20" s="16" t="s">
        <v>79</v>
      </c>
      <c r="J20" s="1">
        <v>16</v>
      </c>
    </row>
    <row r="21" spans="1:10" ht="13.95" customHeight="1" x14ac:dyDescent="0.3">
      <c r="A21" s="15">
        <v>17</v>
      </c>
      <c r="B21" s="16" t="s">
        <v>80</v>
      </c>
      <c r="E21" s="21">
        <v>17</v>
      </c>
      <c r="G21" s="15">
        <v>17</v>
      </c>
      <c r="H21" s="16" t="s">
        <v>81</v>
      </c>
      <c r="J21" s="1">
        <v>17</v>
      </c>
    </row>
    <row r="22" spans="1:10" x14ac:dyDescent="0.3">
      <c r="A22" s="15">
        <v>18</v>
      </c>
      <c r="B22" s="16" t="s">
        <v>82</v>
      </c>
      <c r="E22" s="21">
        <v>18</v>
      </c>
      <c r="G22" s="15">
        <v>18</v>
      </c>
      <c r="H22" s="16" t="s">
        <v>83</v>
      </c>
      <c r="J22" s="1">
        <v>18</v>
      </c>
    </row>
    <row r="23" spans="1:10" x14ac:dyDescent="0.3">
      <c r="A23" s="15">
        <v>19</v>
      </c>
      <c r="B23" s="16" t="s">
        <v>84</v>
      </c>
      <c r="E23" s="21">
        <v>19</v>
      </c>
      <c r="G23" s="15">
        <v>19</v>
      </c>
      <c r="H23" s="16" t="s">
        <v>85</v>
      </c>
      <c r="J23" s="1">
        <v>19</v>
      </c>
    </row>
    <row r="24" spans="1:10" x14ac:dyDescent="0.3">
      <c r="A24" s="19">
        <v>20</v>
      </c>
      <c r="B24" s="20" t="s">
        <v>44</v>
      </c>
      <c r="E24" s="23">
        <v>20</v>
      </c>
      <c r="G24" s="19">
        <v>20</v>
      </c>
      <c r="H24" s="20" t="s">
        <v>86</v>
      </c>
      <c r="J24" s="1">
        <v>20</v>
      </c>
    </row>
  </sheetData>
  <sheetProtection algorithmName="SHA-512" hashValue="F4kTqROIyWimDLlADeGQZ+ebS8wHmc/msznhQBC2RTKLE8VUIo8iGGNRKkQHJMUm5dIwFe0ueoA5dn4NcVdKiw==" saltValue="0fMZkCzkalK9lY1lYmqNqA==" spinCount="100000" sheet="1" objects="1" scenarios="1"/>
  <sortState xmlns:xlrd2="http://schemas.microsoft.com/office/spreadsheetml/2017/richdata2" ref="A5:B43">
    <sortCondition ref="B5:B43"/>
  </sortState>
  <pageMargins left="0.7" right="0.7" top="0.75" bottom="0.75" header="0.3" footer="0.3"/>
  <pageSetup paperSize="9" orientation="portrait" horizontalDpi="0" verticalDpi="0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2</vt:i4>
      </vt:variant>
      <vt:variant>
        <vt:lpstr>Phạm vi Có tên</vt:lpstr>
      </vt:variant>
      <vt:variant>
        <vt:i4>5</vt:i4>
      </vt:variant>
    </vt:vector>
  </HeadingPairs>
  <TitlesOfParts>
    <vt:vector size="7" baseType="lpstr">
      <vt:lpstr>Cử nhân</vt:lpstr>
      <vt:lpstr>DS phân ban</vt:lpstr>
      <vt:lpstr>Danh_sách_phân_ban</vt:lpstr>
      <vt:lpstr>List_of_fields</vt:lpstr>
      <vt:lpstr>Tuần</vt:lpstr>
      <vt:lpstr>'Cử nhân'!Vùng_In</vt:lpstr>
      <vt:lpstr>Week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Nguyen Thi Thanh Nga</dc:creator>
  <cp:keywords/>
  <dc:description/>
  <cp:lastModifiedBy>Anh Hoàng</cp:lastModifiedBy>
  <cp:revision/>
  <dcterms:created xsi:type="dcterms:W3CDTF">2023-01-03T08:35:58Z</dcterms:created>
  <dcterms:modified xsi:type="dcterms:W3CDTF">2026-04-07T05:47:14Z</dcterms:modified>
  <cp:category/>
  <cp:contentStatus/>
</cp:coreProperties>
</file>